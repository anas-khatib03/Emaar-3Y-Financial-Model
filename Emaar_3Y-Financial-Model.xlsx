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as Khatib\Documents\My Projects\Financial_Statement_Analysis_And_3-Year Financial Model\01_Excel\"/>
    </mc:Choice>
  </mc:AlternateContent>
  <xr:revisionPtr revIDLastSave="0" documentId="13_ncr:1_{B32DFF12-9A05-4C5C-9DD3-DBDEFE652B3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ompany_Info" sheetId="8" r:id="rId1"/>
    <sheet name="Dashboard" sheetId="1" r:id="rId2"/>
    <sheet name="Historical_IS" sheetId="2" r:id="rId3"/>
    <sheet name="Historical_BS" sheetId="3" r:id="rId4"/>
    <sheet name="Historical_CF" sheetId="4" r:id="rId5"/>
    <sheet name="Ratio_Analysis" sheetId="5" r:id="rId6"/>
    <sheet name="Common_Size" sheetId="6" r:id="rId7"/>
    <sheet name="Forecast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1" l="1"/>
  <c r="M5" i="1"/>
  <c r="K5" i="1"/>
  <c r="J5" i="1"/>
  <c r="H5" i="1"/>
  <c r="G5" i="1"/>
  <c r="E5" i="1"/>
  <c r="D5" i="1"/>
  <c r="B5" i="1"/>
  <c r="A5" i="1"/>
  <c r="M18" i="7"/>
  <c r="M17" i="7"/>
  <c r="M16" i="7"/>
  <c r="M15" i="7"/>
  <c r="L18" i="7"/>
  <c r="L17" i="7"/>
  <c r="L16" i="7"/>
  <c r="L15" i="7"/>
  <c r="K18" i="7"/>
  <c r="K17" i="7"/>
  <c r="K16" i="7"/>
  <c r="K15" i="7"/>
  <c r="I17" i="7"/>
  <c r="J18" i="7"/>
  <c r="J17" i="7"/>
  <c r="J16" i="7"/>
  <c r="J15" i="7"/>
  <c r="I18" i="7"/>
  <c r="I16" i="7"/>
  <c r="I15" i="7"/>
  <c r="H18" i="7"/>
  <c r="H17" i="7"/>
  <c r="H16" i="7"/>
  <c r="H15" i="7"/>
  <c r="E16" i="7"/>
  <c r="D16" i="7"/>
  <c r="E15" i="7"/>
  <c r="D15" i="7"/>
  <c r="E11" i="7"/>
  <c r="E10" i="7"/>
  <c r="E9" i="7"/>
  <c r="E8" i="7"/>
  <c r="E7" i="7"/>
  <c r="E6" i="7"/>
  <c r="E5" i="7"/>
  <c r="E4" i="7"/>
  <c r="D11" i="7"/>
  <c r="D10" i="7"/>
  <c r="D9" i="7"/>
  <c r="D8" i="7"/>
  <c r="D7" i="7"/>
  <c r="D6" i="7"/>
  <c r="D5" i="7"/>
  <c r="D4" i="7"/>
  <c r="C11" i="7"/>
  <c r="C10" i="7"/>
  <c r="C9" i="7"/>
  <c r="C8" i="7"/>
  <c r="C7" i="7"/>
  <c r="C6" i="7"/>
  <c r="C5" i="7"/>
  <c r="C4" i="7"/>
  <c r="E21" i="6"/>
  <c r="E20" i="6"/>
  <c r="E19" i="6"/>
  <c r="E18" i="6"/>
  <c r="E17" i="6"/>
  <c r="D21" i="6"/>
  <c r="D20" i="6"/>
  <c r="D19" i="6"/>
  <c r="D18" i="6"/>
  <c r="D17" i="6"/>
  <c r="C21" i="6"/>
  <c r="C20" i="6"/>
  <c r="C19" i="6"/>
  <c r="C18" i="6"/>
  <c r="C17" i="6"/>
  <c r="E10" i="6"/>
  <c r="E9" i="6"/>
  <c r="E8" i="6"/>
  <c r="E7" i="6"/>
  <c r="E6" i="6"/>
  <c r="D10" i="6"/>
  <c r="D9" i="6"/>
  <c r="D8" i="6"/>
  <c r="D7" i="6"/>
  <c r="D6" i="6"/>
  <c r="C10" i="6"/>
  <c r="C9" i="6"/>
  <c r="C8" i="6"/>
  <c r="C7" i="6"/>
  <c r="C6" i="6"/>
  <c r="B12" i="5"/>
  <c r="D12" i="5"/>
  <c r="C12" i="5"/>
  <c r="D9" i="5"/>
  <c r="C9" i="5"/>
  <c r="B9" i="5"/>
  <c r="D6" i="5"/>
  <c r="C6" i="5"/>
  <c r="B6" i="5"/>
  <c r="D5" i="5"/>
  <c r="C5" i="5"/>
  <c r="B5" i="5"/>
  <c r="D4" i="5"/>
  <c r="C4" i="5"/>
  <c r="B4" i="5"/>
</calcChain>
</file>

<file path=xl/sharedStrings.xml><?xml version="1.0" encoding="utf-8"?>
<sst xmlns="http://schemas.openxmlformats.org/spreadsheetml/2006/main" count="146" uniqueCount="93">
  <si>
    <t>Company Name</t>
  </si>
  <si>
    <t>Headquarters</t>
  </si>
  <si>
    <t>Industry</t>
  </si>
  <si>
    <t xml:space="preserve">Analysis period </t>
  </si>
  <si>
    <t>Currency</t>
  </si>
  <si>
    <t>Project Type</t>
  </si>
  <si>
    <t>Data Source</t>
  </si>
  <si>
    <t>Prepared By</t>
  </si>
  <si>
    <t>Emaar Properties PJSC</t>
  </si>
  <si>
    <t>Dubai,UAE</t>
  </si>
  <si>
    <t>Real Estate</t>
  </si>
  <si>
    <t>FY2023-FY2025</t>
  </si>
  <si>
    <t>AED</t>
  </si>
  <si>
    <t>Independent Portfolio Project</t>
  </si>
  <si>
    <t>Emaar Properties PJSC Annual Reports</t>
  </si>
  <si>
    <t>Anas Abdul Rahim Khatib</t>
  </si>
  <si>
    <t>Year</t>
  </si>
  <si>
    <t>Reports</t>
  </si>
  <si>
    <t>Emaar Properties PJSC Annual Report 2023</t>
  </si>
  <si>
    <t>Emaar Properties PJSC Annual Report 2024</t>
  </si>
  <si>
    <t>Emaar Properties PJSC Annual Report 2025</t>
  </si>
  <si>
    <t>Revenue</t>
  </si>
  <si>
    <t>Gross profit</t>
  </si>
  <si>
    <t>Profit before tax</t>
  </si>
  <si>
    <t>Income tax credit / (expense)</t>
  </si>
  <si>
    <t>Net Profit Attributable to Owners of the Parent</t>
  </si>
  <si>
    <t>Profit for the year</t>
  </si>
  <si>
    <t>Total</t>
  </si>
  <si>
    <t>Attributable to: Owners of the parent</t>
  </si>
  <si>
    <t>Attributable to: Non-controlling interests</t>
  </si>
  <si>
    <t>Particulars</t>
  </si>
  <si>
    <t>Amount(AED in Milllions) 2023</t>
  </si>
  <si>
    <t>Amount(AED in Milllions) 2024</t>
  </si>
  <si>
    <t>Amount(AED in Milllions) 2025</t>
  </si>
  <si>
    <t>Consolidated income statement of 2023,2024&amp;2025</t>
  </si>
  <si>
    <t>Consolidated statement of financial position</t>
  </si>
  <si>
    <t>Total assets</t>
  </si>
  <si>
    <t>Total liabilities</t>
  </si>
  <si>
    <t>Equity attributable to owners of the parent</t>
  </si>
  <si>
    <t>Non-controlling interests</t>
  </si>
  <si>
    <t>Total equity</t>
  </si>
  <si>
    <t>Consolidated statement of cash flows</t>
  </si>
  <si>
    <t>Net cash flows from operating activities</t>
  </si>
  <si>
    <t>Net cash flows (used in)/ from investing activities</t>
  </si>
  <si>
    <t>Net cash flows (used in)/ from financing activities</t>
  </si>
  <si>
    <t>Increase in cash and cash equivalents</t>
  </si>
  <si>
    <t>Cash and cash equivalents at the end of the year</t>
  </si>
  <si>
    <t>Ratio Analysis</t>
  </si>
  <si>
    <t>FY2023</t>
  </si>
  <si>
    <t>FY2024</t>
  </si>
  <si>
    <t>FY2025</t>
  </si>
  <si>
    <t>Profitabillity Ratios</t>
  </si>
  <si>
    <t>Net Profit Margin</t>
  </si>
  <si>
    <t>Return on Assets (ROA)</t>
  </si>
  <si>
    <t>Return on Equity (ROE)</t>
  </si>
  <si>
    <t>Liquidity Ratio</t>
  </si>
  <si>
    <t>Current Ratio</t>
  </si>
  <si>
    <t>Leverage Ratio</t>
  </si>
  <si>
    <t>Debt To Equity Ratio</t>
  </si>
  <si>
    <t>Efficiency Ratio</t>
  </si>
  <si>
    <t>Asset Turnover</t>
  </si>
  <si>
    <t>Not Disclosed</t>
  </si>
  <si>
    <t>Section-1 Common Size Statement</t>
  </si>
  <si>
    <t>Common Size Income Statement</t>
  </si>
  <si>
    <t>Gross Profit</t>
  </si>
  <si>
    <t>Profit Before Tax</t>
  </si>
  <si>
    <t>Income Tax Credit/(Expense)</t>
  </si>
  <si>
    <t>Profit for the Year</t>
  </si>
  <si>
    <t>Section-2 Common Size Statement of Financial Statement</t>
  </si>
  <si>
    <t>Common Size Statement of Financial Statement</t>
  </si>
  <si>
    <t>Total Assets</t>
  </si>
  <si>
    <t>Total Liablities</t>
  </si>
  <si>
    <t>Equity Attributable to Owners of the Parent</t>
  </si>
  <si>
    <t>Non-Controlling Interest</t>
  </si>
  <si>
    <t>Total Equity</t>
  </si>
  <si>
    <t>Financial Trend</t>
  </si>
  <si>
    <t>Total Liabilities</t>
  </si>
  <si>
    <t>Operating Cash Flow</t>
  </si>
  <si>
    <t>Growth Analysis</t>
  </si>
  <si>
    <t>Revenue Growth</t>
  </si>
  <si>
    <t>Profit Growth</t>
  </si>
  <si>
    <t>-</t>
  </si>
  <si>
    <t>Financial Forecast</t>
  </si>
  <si>
    <t>FY2023A</t>
  </si>
  <si>
    <t>FY2024A</t>
  </si>
  <si>
    <t>FY2025A</t>
  </si>
  <si>
    <t>FY2026F</t>
  </si>
  <si>
    <t>FY2027F</t>
  </si>
  <si>
    <t>FY2028F</t>
  </si>
  <si>
    <t>Forecast Assumptions</t>
  </si>
  <si>
    <t>Assumption</t>
  </si>
  <si>
    <t>Emaar Properties PJSC- Financial Analysis &amp; 3-Year Financial Model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</si>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</sst>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AED]\ * #,##0.00_);_([$AED]\ * \(#,##0.00\);_([$AED]\ * &quot;-&quot;??_);_(@_)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8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4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3" borderId="1" xfId="0" applyFill="1" applyBorder="1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/>
    <xf numFmtId="164" fontId="0" fillId="0" borderId="1" xfId="0" applyNumberFormat="1" applyBorder="1" applyAlignment="1"/>
    <xf numFmtId="164" fontId="0" fillId="4" borderId="1" xfId="0" applyNumberFormat="1" applyFill="1" applyBorder="1" applyAlignment="1"/>
    <xf numFmtId="0" fontId="0" fillId="4" borderId="1" xfId="0" applyFill="1" applyBorder="1" applyAlignment="1"/>
    <xf numFmtId="0" fontId="0" fillId="0" borderId="1" xfId="0" applyBorder="1"/>
    <xf numFmtId="0" fontId="5" fillId="5" borderId="1" xfId="0" applyFont="1" applyFill="1" applyBorder="1" applyAlignment="1"/>
    <xf numFmtId="0" fontId="0" fillId="5" borderId="1" xfId="0" applyFill="1" applyBorder="1" applyAlignment="1"/>
    <xf numFmtId="9" fontId="0" fillId="0" borderId="1" xfId="2" applyFont="1" applyBorder="1"/>
    <xf numFmtId="2" fontId="0" fillId="0" borderId="1" xfId="2" applyNumberFormat="1" applyFont="1" applyBorder="1"/>
    <xf numFmtId="2" fontId="0" fillId="0" borderId="1" xfId="0" applyNumberFormat="1" applyBorder="1"/>
    <xf numFmtId="0" fontId="0" fillId="5" borderId="1" xfId="0" applyFill="1" applyBorder="1"/>
    <xf numFmtId="10" fontId="0" fillId="0" borderId="1" xfId="2" applyNumberFormat="1" applyFont="1" applyBorder="1"/>
    <xf numFmtId="164" fontId="0" fillId="0" borderId="1" xfId="0" applyNumberFormat="1" applyBorder="1"/>
    <xf numFmtId="0" fontId="8" fillId="6" borderId="1" xfId="0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9" fontId="8" fillId="6" borderId="1" xfId="2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</cellXfs>
  <cellStyles count="4">
    <cellStyle name="Normal" xfId="0" builtinId="0"/>
    <cellStyle name="Normal 2" xfId="1" xr:uid="{895CFF1F-4A68-4E8D-ACE7-FE4BAD0D2988}"/>
    <cellStyle name="Normal 3" xfId="3" xr:uid="{906EEAC4-F9EE-4E9E-9614-32A1BC41CC5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&amp; Net Profit Over Coming Years</a:t>
            </a:r>
          </a:p>
        </c:rich>
      </c:tx>
      <c:layout>
        <c:manualLayout>
          <c:xMode val="edge"/>
          <c:yMode val="edge"/>
          <c:x val="0.1725277777777777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Forecast!$J$14:$M$14</c:f>
              <c:strCache>
                <c:ptCount val="4"/>
                <c:pt idx="0">
                  <c:v>FY2025A</c:v>
                </c:pt>
                <c:pt idx="1">
                  <c:v>FY2026F</c:v>
                </c:pt>
                <c:pt idx="2">
                  <c:v>FY2027F</c:v>
                </c:pt>
                <c:pt idx="3">
                  <c:v>FY2028F</c:v>
                </c:pt>
              </c:strCache>
            </c:strRef>
          </c:cat>
          <c:val>
            <c:numRef>
              <c:f>Forecast!$J$15:$M$15</c:f>
              <c:numCache>
                <c:formatCode>_([$AED]\ * #,##0.00_);_([$AED]\ * \(#,##0.00\);_([$AED]\ * "-"??_);_(@_)</c:formatCode>
                <c:ptCount val="4"/>
                <c:pt idx="0">
                  <c:v>49557.262999999999</c:v>
                </c:pt>
                <c:pt idx="1">
                  <c:v>67472.213574499998</c:v>
                </c:pt>
                <c:pt idx="2">
                  <c:v>91863.418781681743</c:v>
                </c:pt>
                <c:pt idx="3">
                  <c:v>125072.04467125969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9-4E8E-83E0-B30E121FAD02}"/>
            </c:ext>
          </c:extLst>
        </c:ser>
        <c:ser>
          <c:idx val="1"/>
          <c:order val="1"/>
          <c:tx>
            <c:v>Net Profit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Forecast!$J$14:$M$14</c:f>
              <c:strCache>
                <c:ptCount val="4"/>
                <c:pt idx="0">
                  <c:v>FY2025A</c:v>
                </c:pt>
                <c:pt idx="1">
                  <c:v>FY2026F</c:v>
                </c:pt>
                <c:pt idx="2">
                  <c:v>FY2027F</c:v>
                </c:pt>
                <c:pt idx="3">
                  <c:v>FY2028F</c:v>
                </c:pt>
              </c:strCache>
            </c:strRef>
          </c:cat>
          <c:val>
            <c:numRef>
              <c:f>Forecast!$J$18:$M$18</c:f>
              <c:numCache>
                <c:formatCode>_([$AED]\ * #,##0.00_);_([$AED]\ * \(#,##0.00\);_([$AED]\ * "-"??_);_(@_)</c:formatCode>
                <c:ptCount val="4"/>
                <c:pt idx="0">
                  <c:v>22325.535</c:v>
                </c:pt>
                <c:pt idx="1">
                  <c:v>33461.511858000005</c:v>
                </c:pt>
                <c:pt idx="2">
                  <c:v>50152.113972770414</c:v>
                </c:pt>
                <c:pt idx="3">
                  <c:v>75167.988422388298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9-4E8E-83E0-B30E121FA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0543"/>
        <c:axId val="12591503"/>
      </c:lineChart>
      <c:catAx>
        <c:axId val="1259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1503"/>
        <c:crosses val="autoZero"/>
        <c:auto val="1"/>
        <c:lblAlgn val="ctr"/>
        <c:lblOffset val="100"/>
        <c:noMultiLvlLbl val="0"/>
      </c:catAx>
      <c:valAx>
        <c:axId val="125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AED]\ * #,##0.00_);_([$AED]\ * \(#,##0.00\);_([$AED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 &amp; 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Ratio_Analysis!$A$5</c:f>
              <c:strCache>
                <c:ptCount val="1"/>
                <c:pt idx="0">
                  <c:v>Return on Assets (ROA)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Ratio_Analysis!$B$2:$D$2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Ratio_Analysis!$B$5:$D$5</c:f>
              <c:numCache>
                <c:formatCode>0%</c:formatCode>
                <c:ptCount val="3"/>
                <c:pt idx="0">
                  <c:v>0.10638051980831298</c:v>
                </c:pt>
                <c:pt idx="1">
                  <c:v>0.10890534959513269</c:v>
                </c:pt>
                <c:pt idx="2">
                  <c:v>0.11957928681858572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E-457D-9BF1-C4E13D073486}"/>
            </c:ext>
          </c:extLst>
        </c:ser>
        <c:ser>
          <c:idx val="1"/>
          <c:order val="1"/>
          <c:tx>
            <c:strRef>
              <c:f>Ratio_Analysis!$A$6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Ratio_Analysis!$B$2:$D$2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Ratio_Analysis!$B$6:$D$6</c:f>
              <c:numCache>
                <c:formatCode>0%</c:formatCode>
                <c:ptCount val="3"/>
                <c:pt idx="0">
                  <c:v>0.17078171305097448</c:v>
                </c:pt>
                <c:pt idx="1">
                  <c:v>0.18162867518085818</c:v>
                </c:pt>
                <c:pt idx="2">
                  <c:v>0.20733934532134354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E-457D-9BF1-C4E13D073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6239"/>
        <c:axId val="13547679"/>
      </c:lineChart>
      <c:catAx>
        <c:axId val="1354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679"/>
        <c:crosses val="autoZero"/>
        <c:auto val="1"/>
        <c:lblAlgn val="ctr"/>
        <c:lblOffset val="100"/>
        <c:noMultiLvlLbl val="0"/>
      </c:catAx>
      <c:valAx>
        <c:axId val="1354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Gross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Forecast!$G$15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Forecast!$H$14:$M$14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FY2026F</c:v>
                </c:pt>
                <c:pt idx="4">
                  <c:v>FY2027F</c:v>
                </c:pt>
                <c:pt idx="5">
                  <c:v>FY2028F</c:v>
                </c:pt>
              </c:strCache>
            </c:strRef>
          </c:cat>
          <c:val>
            <c:numRef>
              <c:f>Forecast!$H$15:$M$15</c:f>
              <c:numCache>
                <c:formatCode>_([$AED]\ * #,##0.00_);_([$AED]\ * \(#,##0.00\);_([$AED]\ * "-"??_);_(@_)</c:formatCode>
                <c:ptCount val="6"/>
                <c:pt idx="0">
                  <c:v>26749.821</c:v>
                </c:pt>
                <c:pt idx="1">
                  <c:v>35504.92</c:v>
                </c:pt>
                <c:pt idx="2">
                  <c:v>49557.262999999999</c:v>
                </c:pt>
                <c:pt idx="3">
                  <c:v>67472.213574499998</c:v>
                </c:pt>
                <c:pt idx="4">
                  <c:v>91863.418781681743</c:v>
                </c:pt>
                <c:pt idx="5">
                  <c:v>125072.04467125969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F-4B61-9790-D8CF0DE7982A}"/>
            </c:ext>
          </c:extLst>
        </c:ser>
        <c:ser>
          <c:idx val="1"/>
          <c:order val="1"/>
          <c:tx>
            <c:strRef>
              <c:f>Forecast!$G$16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Forecast!$H$14:$M$14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FY2026F</c:v>
                </c:pt>
                <c:pt idx="4">
                  <c:v>FY2027F</c:v>
                </c:pt>
                <c:pt idx="5">
                  <c:v>FY2028F</c:v>
                </c:pt>
              </c:strCache>
            </c:strRef>
          </c:cat>
          <c:val>
            <c:numRef>
              <c:f>Forecast!$H$16:$M$16</c:f>
              <c:numCache>
                <c:formatCode>_([$AED]\ * #,##0.00_);_([$AED]\ * \(#,##0.00\);_([$AED]\ * "-"??_);_(@_)</c:formatCode>
                <c:ptCount val="6"/>
                <c:pt idx="0">
                  <c:v>16865.324000000001</c:v>
                </c:pt>
                <c:pt idx="1">
                  <c:v>20380.554</c:v>
                </c:pt>
                <c:pt idx="2">
                  <c:v>27227.303</c:v>
                </c:pt>
                <c:pt idx="3">
                  <c:v>43144.384333800001</c:v>
                </c:pt>
                <c:pt idx="4">
                  <c:v>68366.591415339484</c:v>
                </c:pt>
                <c:pt idx="5">
                  <c:v>108333.70075674694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F-4B61-9790-D8CF0DE79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7695"/>
        <c:axId val="168554735"/>
      </c:barChart>
      <c:catAx>
        <c:axId val="63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54735"/>
        <c:crosses val="autoZero"/>
        <c:auto val="1"/>
        <c:lblAlgn val="ctr"/>
        <c:lblOffset val="100"/>
        <c:noMultiLvlLbl val="0"/>
      </c:catAx>
      <c:valAx>
        <c:axId val="16855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AED]\ * #,##0.00_);_([$AED]\ * \(#,##0.00\);_([$AED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Assets,Liabilities&amp;Equity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Historical_BS!$B$3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Forecast!$H$14:$J$14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Historical_BS!$C$3:$E$3</c:f>
              <c:numCache>
                <c:formatCode>_([$AED]\ * #,##0.00_);_([$AED]\ * \(#,##0.00\);_([$AED]\ * "-"??_);_(@_)</c:formatCode>
                <c:ptCount val="3"/>
                <c:pt idx="0">
                  <c:v>139397.23199999999</c:v>
                </c:pt>
                <c:pt idx="1">
                  <c:v>160222.36799999999</c:v>
                </c:pt>
                <c:pt idx="2">
                  <c:v>186700.68700000001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9-4FC4-99FA-F16B9ACC1B01}"/>
            </c:ext>
          </c:extLst>
        </c:ser>
        <c:ser>
          <c:idx val="1"/>
          <c:order val="1"/>
          <c:tx>
            <c:strRef>
              <c:f>Historical_BS!$B$4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Forecast!$H$14:$J$14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Historical_BS!$C$4:$E$4</c:f>
              <c:numCache>
                <c:formatCode>_([$AED]\ * #,##0.00_);_([$AED]\ * \(#,##0.00\);_([$AED]\ * "-"??_);_(@_)</c:formatCode>
                <c:ptCount val="3"/>
                <c:pt idx="0">
                  <c:v>52566.214</c:v>
                </c:pt>
                <c:pt idx="1">
                  <c:v>64152.334000000003</c:v>
                </c:pt>
                <c:pt idx="2">
                  <c:v>79024.38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9-4FC4-99FA-F16B9ACC1B01}"/>
            </c:ext>
          </c:extLst>
        </c:ser>
        <c:ser>
          <c:idx val="2"/>
          <c:order val="2"/>
          <c:tx>
            <c:strRef>
              <c:f>Historical_BS!$B$7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Forecast!$H$14:$J$14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Historical_BS!$C$7:$E$7</c:f>
              <c:numCache>
                <c:formatCode>_([$AED]\ * #,##0.00_);_([$AED]\ * \(#,##0.00\);_([$AED]\ * "-"??_);_(@_)</c:formatCode>
                <c:ptCount val="3"/>
                <c:pt idx="0">
                  <c:v>86831.017999999996</c:v>
                </c:pt>
                <c:pt idx="1">
                  <c:v>96070.034</c:v>
                </c:pt>
                <c:pt idx="2">
                  <c:v>107676.307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39-4FC4-99FA-F16B9ACC1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0595311"/>
        <c:axId val="2050598191"/>
      </c:barChart>
      <c:catAx>
        <c:axId val="205059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98191"/>
        <c:crosses val="autoZero"/>
        <c:auto val="1"/>
        <c:lblAlgn val="ctr"/>
        <c:lblOffset val="100"/>
        <c:noMultiLvlLbl val="0"/>
      </c:catAx>
      <c:valAx>
        <c:axId val="205059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AED]\ * #,##0.00_);_([$AED]\ * \(#,##0.00\);_([$AED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9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339725</xdr:colOff>
      <xdr:row>6</xdr:row>
      <xdr:rowOff>12700</xdr:rowOff>
    </xdr:from>
    <xdr:to>
      <xdr:col>6</xdr:col>
      <xdr:colOff>3175</xdr:colOff>
      <xdr:row>20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02FC76-58BA-F788-9CB9-1FC8EB67D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</xdr:colOff>
      <xdr:row>6</xdr:row>
      <xdr:rowOff>12700</xdr:rowOff>
    </xdr:from>
    <xdr:to>
      <xdr:col>13</xdr:col>
      <xdr:colOff>6349</xdr:colOff>
      <xdr:row>20</xdr:row>
      <xdr:rowOff>177800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8A0C1F3F-AB5F-CF26-5DBF-7CC894A9F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358774</xdr:colOff>
      <xdr:row>22</xdr:row>
      <xdr:rowOff>6350</xdr:rowOff>
    </xdr:from>
    <xdr:to>
      <xdr:col>5</xdr:col>
      <xdr:colOff>609599</xdr:colOff>
      <xdr:row>36</xdr:row>
      <xdr:rowOff>171450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CA010854-7443-9980-83A8-47A56F8A6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3174</xdr:colOff>
      <xdr:row>22</xdr:row>
      <xdr:rowOff>6350</xdr:rowOff>
    </xdr:from>
    <xdr:to>
      <xdr:col>12</xdr:col>
      <xdr:colOff>984249</xdr:colOff>
      <xdr:row>36</xdr:row>
      <xdr:rowOff>171450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CD5B8985-8D91-4FE3-8EC2-9B2FEC0BE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7EBD-AB84-4A1E-9751-9FDB005E9640}">
  <dimension ref="B2:C16"/>
  <sheetViews>
    <sheetView workbookViewId="0">
      <selection activeCell="G6" sqref="G6"/>
    </sheetView>
  </sheetViews>
  <sheetFormatPr defaultRowHeight="14.5" x14ac:dyDescent="0.35"/>
  <cols>
    <col min="2" max="2" width="14.1796875" bestFit="1" customWidth="1"/>
    <col min="3" max="3" width="36.7265625" bestFit="1" customWidth="1"/>
  </cols>
  <sheetData>
    <row r="2" spans="2:3" ht="15" thickBot="1" x14ac:dyDescent="0.4"/>
    <row r="3" spans="2:3" x14ac:dyDescent="0.35">
      <c r="B3" s="4" t="s">
        <v>0</v>
      </c>
      <c r="C3" s="1" t="s">
        <v>8</v>
      </c>
    </row>
    <row r="4" spans="2:3" x14ac:dyDescent="0.35">
      <c r="B4" s="5" t="s">
        <v>1</v>
      </c>
      <c r="C4" s="2" t="s">
        <v>9</v>
      </c>
    </row>
    <row r="5" spans="2:3" x14ac:dyDescent="0.35">
      <c r="B5" s="5" t="s">
        <v>2</v>
      </c>
      <c r="C5" s="2" t="s">
        <v>10</v>
      </c>
    </row>
    <row r="6" spans="2:3" x14ac:dyDescent="0.35">
      <c r="B6" s="5" t="s">
        <v>3</v>
      </c>
      <c r="C6" s="2" t="s">
        <v>11</v>
      </c>
    </row>
    <row r="7" spans="2:3" x14ac:dyDescent="0.35">
      <c r="B7" s="5" t="s">
        <v>4</v>
      </c>
      <c r="C7" s="2" t="s">
        <v>12</v>
      </c>
    </row>
    <row r="8" spans="2:3" x14ac:dyDescent="0.35">
      <c r="B8" s="5" t="s">
        <v>5</v>
      </c>
      <c r="C8" s="2" t="s">
        <v>13</v>
      </c>
    </row>
    <row r="9" spans="2:3" x14ac:dyDescent="0.35">
      <c r="B9" s="5" t="s">
        <v>6</v>
      </c>
      <c r="C9" s="2" t="s">
        <v>14</v>
      </c>
    </row>
    <row r="10" spans="2:3" ht="15" thickBot="1" x14ac:dyDescent="0.4">
      <c r="B10" s="6" t="s">
        <v>7</v>
      </c>
      <c r="C10" s="3" t="s">
        <v>15</v>
      </c>
    </row>
    <row r="13" spans="2:3" x14ac:dyDescent="0.35">
      <c r="B13" s="7" t="s">
        <v>16</v>
      </c>
      <c r="C13" s="7" t="s">
        <v>17</v>
      </c>
    </row>
    <row r="14" spans="2:3" x14ac:dyDescent="0.35">
      <c r="B14" s="7">
        <v>2023</v>
      </c>
      <c r="C14" s="7" t="s">
        <v>18</v>
      </c>
    </row>
    <row r="15" spans="2:3" x14ac:dyDescent="0.35">
      <c r="B15" s="7">
        <v>2024</v>
      </c>
      <c r="C15" s="7" t="s">
        <v>19</v>
      </c>
    </row>
    <row r="16" spans="2:3" x14ac:dyDescent="0.35">
      <c r="B16" s="7">
        <v>2025</v>
      </c>
      <c r="C16" s="7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zoomScale="70" zoomScaleNormal="70" workbookViewId="0">
      <selection activeCell="N15" sqref="N15"/>
    </sheetView>
  </sheetViews>
  <sheetFormatPr defaultRowHeight="14.5" x14ac:dyDescent="0.35"/>
  <cols>
    <col min="1" max="1" width="14.08984375" bestFit="1" customWidth="1"/>
    <col min="2" max="3" width="15.08984375" bestFit="1" customWidth="1"/>
    <col min="4" max="5" width="14.08984375" bestFit="1" customWidth="1"/>
    <col min="7" max="7" width="7.90625" bestFit="1" customWidth="1"/>
    <col min="8" max="8" width="7.6328125" bestFit="1" customWidth="1"/>
    <col min="10" max="11" width="14.08984375" bestFit="1" customWidth="1"/>
    <col min="13" max="13" width="14.08984375" bestFit="1" customWidth="1"/>
    <col min="14" max="14" width="15.08984375" bestFit="1" customWidth="1"/>
  </cols>
  <sheetData>
    <row r="1" spans="1:15" ht="23.5" x14ac:dyDescent="0.55000000000000004">
      <c r="A1" s="27" t="s">
        <v>91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3" spans="1:15" x14ac:dyDescent="0.35">
      <c r="A3" s="29" t="s">
        <v>21</v>
      </c>
      <c r="B3" s="30"/>
      <c r="D3" s="26" t="s">
        <v>92</v>
      </c>
      <c r="E3" s="26"/>
      <c r="G3" s="29" t="s">
        <v>52</v>
      </c>
      <c r="H3" s="30"/>
      <c r="J3" s="26" t="s">
        <v>65</v>
      </c>
      <c r="K3" s="26"/>
      <c r="M3" s="26" t="s">
        <v>64</v>
      </c>
      <c r="N3" s="26"/>
    </row>
    <row r="4" spans="1:15" x14ac:dyDescent="0.35">
      <c r="A4" s="23" t="s">
        <v>85</v>
      </c>
      <c r="B4" s="23" t="s">
        <v>88</v>
      </c>
      <c r="D4" s="23" t="s">
        <v>85</v>
      </c>
      <c r="E4" s="23" t="s">
        <v>88</v>
      </c>
      <c r="G4" s="23" t="s">
        <v>85</v>
      </c>
      <c r="H4" s="23" t="s">
        <v>88</v>
      </c>
      <c r="J4" s="23" t="s">
        <v>85</v>
      </c>
      <c r="K4" s="23" t="s">
        <v>88</v>
      </c>
      <c r="M4" s="23" t="s">
        <v>85</v>
      </c>
      <c r="N4" s="23" t="s">
        <v>88</v>
      </c>
    </row>
    <row r="5" spans="1:15" x14ac:dyDescent="0.35">
      <c r="A5" s="24">
        <f>Forecast!J15</f>
        <v>49557.262999999999</v>
      </c>
      <c r="B5" s="24">
        <f>Forecast!M15</f>
        <v>125072.04467125969</v>
      </c>
      <c r="D5" s="24">
        <f>Forecast!J18</f>
        <v>22325.535</v>
      </c>
      <c r="E5" s="24">
        <f>Forecast!M18</f>
        <v>75167.988422388298</v>
      </c>
      <c r="G5" s="25">
        <f>D5/A5</f>
        <v>0.45049975822918226</v>
      </c>
      <c r="H5" s="25">
        <f>E5/B5</f>
        <v>0.60099751803019141</v>
      </c>
      <c r="J5" s="24">
        <f>Forecast!J17</f>
        <v>25656.434000000001</v>
      </c>
      <c r="K5" s="24">
        <f>Forecast!M17</f>
        <v>93284.854080296485</v>
      </c>
      <c r="M5" s="24">
        <f>Forecast!J16</f>
        <v>27227.303</v>
      </c>
      <c r="N5" s="24">
        <f>Forecast!M16</f>
        <v>108333.70075674694</v>
      </c>
    </row>
  </sheetData>
  <mergeCells count="6">
    <mergeCell ref="M3:N3"/>
    <mergeCell ref="A1:O1"/>
    <mergeCell ref="A3:B3"/>
    <mergeCell ref="D3:E3"/>
    <mergeCell ref="G3:H3"/>
    <mergeCell ref="J3:K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9937-6D50-4727-86AD-1C2D5F8C44A9}">
  <dimension ref="B2:F14"/>
  <sheetViews>
    <sheetView workbookViewId="0">
      <selection activeCell="C21" sqref="C21"/>
    </sheetView>
  </sheetViews>
  <sheetFormatPr defaultRowHeight="14.5" x14ac:dyDescent="0.35"/>
  <cols>
    <col min="2" max="2" width="40.1796875" style="9" bestFit="1" customWidth="1"/>
    <col min="3" max="5" width="26.54296875" bestFit="1" customWidth="1"/>
  </cols>
  <sheetData>
    <row r="2" spans="2:6" ht="15.5" x14ac:dyDescent="0.35">
      <c r="B2" s="31" t="s">
        <v>34</v>
      </c>
      <c r="C2" s="31"/>
      <c r="D2" s="31"/>
      <c r="E2" s="31"/>
    </row>
    <row r="3" spans="2:6" x14ac:dyDescent="0.35">
      <c r="B3" s="10" t="s">
        <v>30</v>
      </c>
      <c r="C3" s="10" t="s">
        <v>31</v>
      </c>
      <c r="D3" s="10" t="s">
        <v>32</v>
      </c>
      <c r="E3" s="10" t="s">
        <v>33</v>
      </c>
    </row>
    <row r="4" spans="2:6" x14ac:dyDescent="0.35">
      <c r="B4" s="10" t="s">
        <v>21</v>
      </c>
      <c r="C4" s="11">
        <v>26749.821</v>
      </c>
      <c r="D4" s="11">
        <v>35504.92</v>
      </c>
      <c r="E4" s="11">
        <v>49557.262999999999</v>
      </c>
    </row>
    <row r="5" spans="2:6" x14ac:dyDescent="0.35">
      <c r="B5" s="10" t="s">
        <v>22</v>
      </c>
      <c r="C5" s="11">
        <v>16865.324000000001</v>
      </c>
      <c r="D5" s="11">
        <v>20380.554</v>
      </c>
      <c r="E5" s="11">
        <v>27227.303</v>
      </c>
    </row>
    <row r="6" spans="2:6" x14ac:dyDescent="0.35">
      <c r="B6" s="10" t="s">
        <v>23</v>
      </c>
      <c r="C6" s="11">
        <v>15061.564</v>
      </c>
      <c r="D6" s="11">
        <v>18899.78</v>
      </c>
      <c r="E6" s="11">
        <v>25656.434000000001</v>
      </c>
    </row>
    <row r="7" spans="2:6" x14ac:dyDescent="0.35">
      <c r="B7" s="10" t="s">
        <v>24</v>
      </c>
      <c r="C7" s="11">
        <v>-232.41399999999999</v>
      </c>
      <c r="D7" s="11">
        <v>-1450.7070000000001</v>
      </c>
      <c r="E7" s="11">
        <v>-3330.8989999999999</v>
      </c>
    </row>
    <row r="8" spans="2:6" x14ac:dyDescent="0.35">
      <c r="B8" s="10" t="s">
        <v>25</v>
      </c>
      <c r="C8" s="11">
        <v>11629.237999999999</v>
      </c>
      <c r="D8" s="11">
        <v>13513.938</v>
      </c>
      <c r="E8" s="11">
        <v>17599.179</v>
      </c>
      <c r="F8" s="8"/>
    </row>
    <row r="11" spans="2:6" x14ac:dyDescent="0.35">
      <c r="B11" s="13" t="s">
        <v>26</v>
      </c>
      <c r="C11" s="12"/>
      <c r="D11" s="12"/>
      <c r="E11" s="12"/>
    </row>
    <row r="12" spans="2:6" x14ac:dyDescent="0.35">
      <c r="B12" s="10" t="s">
        <v>27</v>
      </c>
      <c r="C12" s="11">
        <v>14829.15</v>
      </c>
      <c r="D12" s="11">
        <v>17449.073</v>
      </c>
      <c r="E12" s="11">
        <v>22325.535</v>
      </c>
    </row>
    <row r="13" spans="2:6" x14ac:dyDescent="0.35">
      <c r="B13" s="10" t="s">
        <v>28</v>
      </c>
      <c r="C13" s="11">
        <v>11629.237999999999</v>
      </c>
      <c r="D13" s="11">
        <v>13513.938</v>
      </c>
      <c r="E13" s="11">
        <v>17599.179</v>
      </c>
    </row>
    <row r="14" spans="2:6" x14ac:dyDescent="0.35">
      <c r="B14" s="10" t="s">
        <v>29</v>
      </c>
      <c r="C14" s="11">
        <v>3199.9119999999998</v>
      </c>
      <c r="D14" s="11">
        <v>3935.1350000000002</v>
      </c>
      <c r="E14" s="11">
        <v>4726.3559999999998</v>
      </c>
    </row>
  </sheetData>
  <mergeCells count="1">
    <mergeCell ref="B2:E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A603-1C5E-4962-806F-5EFF44E27A37}">
  <dimension ref="B2:E7"/>
  <sheetViews>
    <sheetView workbookViewId="0">
      <selection activeCell="D13" sqref="D13"/>
    </sheetView>
  </sheetViews>
  <sheetFormatPr defaultRowHeight="14.5" x14ac:dyDescent="0.35"/>
  <cols>
    <col min="2" max="2" width="43.26953125" bestFit="1" customWidth="1"/>
    <col min="3" max="5" width="26.54296875" bestFit="1" customWidth="1"/>
  </cols>
  <sheetData>
    <row r="2" spans="2:5" x14ac:dyDescent="0.35">
      <c r="B2" s="15" t="s">
        <v>35</v>
      </c>
      <c r="C2" s="16" t="s">
        <v>31</v>
      </c>
      <c r="D2" s="16" t="s">
        <v>32</v>
      </c>
      <c r="E2" s="16" t="s">
        <v>33</v>
      </c>
    </row>
    <row r="3" spans="2:5" x14ac:dyDescent="0.35">
      <c r="B3" s="15" t="s">
        <v>36</v>
      </c>
      <c r="C3" s="11">
        <v>139397.23199999999</v>
      </c>
      <c r="D3" s="11">
        <v>160222.36799999999</v>
      </c>
      <c r="E3" s="11">
        <v>186700.68700000001</v>
      </c>
    </row>
    <row r="4" spans="2:5" x14ac:dyDescent="0.35">
      <c r="B4" s="15" t="s">
        <v>37</v>
      </c>
      <c r="C4" s="11">
        <v>52566.214</v>
      </c>
      <c r="D4" s="11">
        <v>64152.334000000003</v>
      </c>
      <c r="E4" s="11">
        <v>79024.38</v>
      </c>
    </row>
    <row r="5" spans="2:5" x14ac:dyDescent="0.35">
      <c r="B5" s="15" t="s">
        <v>38</v>
      </c>
      <c r="C5" s="11">
        <v>77724.133000000002</v>
      </c>
      <c r="D5" s="11">
        <v>85428.226999999999</v>
      </c>
      <c r="E5" s="11">
        <v>94278.017000000007</v>
      </c>
    </row>
    <row r="6" spans="2:5" x14ac:dyDescent="0.35">
      <c r="B6" s="15" t="s">
        <v>39</v>
      </c>
      <c r="C6" s="11">
        <v>9106.8850000000002</v>
      </c>
      <c r="D6" s="11">
        <v>10641.807000000001</v>
      </c>
      <c r="E6" s="11">
        <v>13398.29</v>
      </c>
    </row>
    <row r="7" spans="2:5" x14ac:dyDescent="0.35">
      <c r="B7" s="15" t="s">
        <v>40</v>
      </c>
      <c r="C7" s="11">
        <v>86831.017999999996</v>
      </c>
      <c r="D7" s="11">
        <v>96070.034</v>
      </c>
      <c r="E7" s="11">
        <v>107676.307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E3CB-94B9-4666-8F9D-D92C9BF547E5}">
  <dimension ref="B3:E8"/>
  <sheetViews>
    <sheetView workbookViewId="0">
      <selection activeCell="E11" sqref="E11"/>
    </sheetView>
  </sheetViews>
  <sheetFormatPr defaultRowHeight="14.5" x14ac:dyDescent="0.35"/>
  <cols>
    <col min="2" max="2" width="42.26953125" bestFit="1" customWidth="1"/>
    <col min="3" max="5" width="26.54296875" bestFit="1" customWidth="1"/>
  </cols>
  <sheetData>
    <row r="3" spans="2:5" x14ac:dyDescent="0.35">
      <c r="B3" s="16" t="s">
        <v>41</v>
      </c>
      <c r="C3" s="16" t="s">
        <v>31</v>
      </c>
      <c r="D3" s="16" t="s">
        <v>32</v>
      </c>
      <c r="E3" s="16" t="s">
        <v>33</v>
      </c>
    </row>
    <row r="4" spans="2:5" x14ac:dyDescent="0.35">
      <c r="B4" s="16" t="s">
        <v>42</v>
      </c>
      <c r="C4" s="11">
        <v>19831.246999999999</v>
      </c>
      <c r="D4" s="11">
        <v>24481.462</v>
      </c>
      <c r="E4" s="11">
        <v>33458.368999999999</v>
      </c>
    </row>
    <row r="5" spans="2:5" x14ac:dyDescent="0.35">
      <c r="B5" s="16" t="s">
        <v>43</v>
      </c>
      <c r="C5" s="11">
        <v>-5309.174</v>
      </c>
      <c r="D5" s="11">
        <v>-2270.2199999999998</v>
      </c>
      <c r="E5" s="11">
        <v>-6960.62</v>
      </c>
    </row>
    <row r="6" spans="2:5" x14ac:dyDescent="0.35">
      <c r="B6" s="16" t="s">
        <v>44</v>
      </c>
      <c r="C6" s="11">
        <v>-6185.5379999999996</v>
      </c>
      <c r="D6" s="11">
        <v>-8759.759</v>
      </c>
      <c r="E6" s="11">
        <v>-12615.401</v>
      </c>
    </row>
    <row r="7" spans="2:5" x14ac:dyDescent="0.35">
      <c r="B7" s="16" t="s">
        <v>45</v>
      </c>
      <c r="C7" s="11">
        <v>8336.5319999999992</v>
      </c>
      <c r="D7" s="11">
        <v>13451.483</v>
      </c>
      <c r="E7" s="11">
        <v>13882.348</v>
      </c>
    </row>
    <row r="8" spans="2:5" x14ac:dyDescent="0.35">
      <c r="B8" s="16" t="s">
        <v>46</v>
      </c>
      <c r="C8" s="11">
        <v>25624.573</v>
      </c>
      <c r="D8" s="11">
        <v>38631.997000000003</v>
      </c>
      <c r="E8" s="11">
        <v>52632.911999999997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1DC3-2F5F-4F41-98E4-4046FC5A1C95}">
  <dimension ref="A2:D12"/>
  <sheetViews>
    <sheetView workbookViewId="0">
      <selection activeCell="C21" sqref="C21"/>
    </sheetView>
  </sheetViews>
  <sheetFormatPr defaultRowHeight="14.5" x14ac:dyDescent="0.35"/>
  <cols>
    <col min="1" max="1" width="20.36328125" bestFit="1" customWidth="1"/>
    <col min="2" max="4" width="12.08984375" bestFit="1" customWidth="1"/>
  </cols>
  <sheetData>
    <row r="2" spans="1:4" x14ac:dyDescent="0.35">
      <c r="A2" s="20" t="s">
        <v>47</v>
      </c>
      <c r="B2" s="20" t="s">
        <v>48</v>
      </c>
      <c r="C2" s="20" t="s">
        <v>49</v>
      </c>
      <c r="D2" s="20" t="s">
        <v>50</v>
      </c>
    </row>
    <row r="3" spans="1:4" x14ac:dyDescent="0.35">
      <c r="A3" s="20" t="s">
        <v>51</v>
      </c>
      <c r="B3" s="14"/>
      <c r="C3" s="14"/>
      <c r="D3" s="14"/>
    </row>
    <row r="4" spans="1:4" x14ac:dyDescent="0.35">
      <c r="A4" s="20" t="s">
        <v>52</v>
      </c>
      <c r="B4" s="17">
        <f>Historical_IS!C12/Historical_IS!C4</f>
        <v>0.55436445724253636</v>
      </c>
      <c r="C4" s="17">
        <f>Historical_IS!D12/Historical_IS!D4</f>
        <v>0.49145507157881219</v>
      </c>
      <c r="D4" s="17">
        <f>Historical_IS!E12/Historical_IS!E4</f>
        <v>0.45049975822918226</v>
      </c>
    </row>
    <row r="5" spans="1:4" x14ac:dyDescent="0.35">
      <c r="A5" s="20" t="s">
        <v>53</v>
      </c>
      <c r="B5" s="17">
        <f>Historical_IS!C12/Historical_BS!C3</f>
        <v>0.10638051980831298</v>
      </c>
      <c r="C5" s="17">
        <f>Historical_IS!D12/Historical_BS!D3</f>
        <v>0.10890534959513269</v>
      </c>
      <c r="D5" s="17">
        <f>Historical_IS!E12/Historical_BS!E3</f>
        <v>0.11957928681858572</v>
      </c>
    </row>
    <row r="6" spans="1:4" x14ac:dyDescent="0.35">
      <c r="A6" s="20" t="s">
        <v>54</v>
      </c>
      <c r="B6" s="17">
        <f>Historical_IS!C12/Historical_BS!C7</f>
        <v>0.17078171305097448</v>
      </c>
      <c r="C6" s="17">
        <f>Historical_IS!D12/Historical_BS!D7</f>
        <v>0.18162867518085818</v>
      </c>
      <c r="D6" s="17">
        <f>Historical_IS!E12/Historical_BS!E7</f>
        <v>0.20733934532134354</v>
      </c>
    </row>
    <row r="7" spans="1:4" x14ac:dyDescent="0.35">
      <c r="A7" s="20" t="s">
        <v>55</v>
      </c>
      <c r="B7" s="14"/>
      <c r="C7" s="14"/>
      <c r="D7" s="14"/>
    </row>
    <row r="8" spans="1:4" x14ac:dyDescent="0.35">
      <c r="A8" s="20" t="s">
        <v>56</v>
      </c>
      <c r="B8" s="14" t="s">
        <v>61</v>
      </c>
      <c r="C8" s="14" t="s">
        <v>61</v>
      </c>
      <c r="D8" s="14" t="s">
        <v>61</v>
      </c>
    </row>
    <row r="9" spans="1:4" x14ac:dyDescent="0.35">
      <c r="A9" s="20" t="s">
        <v>57</v>
      </c>
      <c r="B9" s="18">
        <f>Historical_BS!C4/Historical_BS!C7</f>
        <v>0.60538520923479211</v>
      </c>
      <c r="C9" s="18">
        <f>Historical_BS!D4/Historical_BS!D7</f>
        <v>0.6677663297173394</v>
      </c>
      <c r="D9" s="18">
        <f>Historical_BS!E4/Historical_BS!E7</f>
        <v>0.7339068565938095</v>
      </c>
    </row>
    <row r="10" spans="1:4" x14ac:dyDescent="0.35">
      <c r="A10" s="20" t="s">
        <v>58</v>
      </c>
      <c r="B10" s="14" t="s">
        <v>61</v>
      </c>
      <c r="C10" s="14" t="s">
        <v>61</v>
      </c>
      <c r="D10" s="14" t="s">
        <v>61</v>
      </c>
    </row>
    <row r="11" spans="1:4" x14ac:dyDescent="0.35">
      <c r="A11" s="20" t="s">
        <v>59</v>
      </c>
      <c r="B11" s="14"/>
      <c r="C11" s="14"/>
      <c r="D11" s="14"/>
    </row>
    <row r="12" spans="1:4" x14ac:dyDescent="0.35">
      <c r="A12" s="20" t="s">
        <v>60</v>
      </c>
      <c r="B12" s="19">
        <f>Historical_IS!C4/Historical_BS!C3</f>
        <v>0.1918963570237894</v>
      </c>
      <c r="C12" s="19">
        <f>Historical_IS!D4/Historical_BS!D3</f>
        <v>0.22159777341450851</v>
      </c>
      <c r="D12" s="19">
        <f>Historical_IS!E4/Historical_BS!E3</f>
        <v>0.26543696113983767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03B6-4BC3-446A-B4D9-AADFD31A95EB}">
  <dimension ref="B3:E21"/>
  <sheetViews>
    <sheetView topLeftCell="A4" workbookViewId="0">
      <selection activeCell="I13" sqref="I13"/>
    </sheetView>
  </sheetViews>
  <sheetFormatPr defaultRowHeight="14.5" x14ac:dyDescent="0.35"/>
  <cols>
    <col min="2" max="2" width="40.6328125" bestFit="1" customWidth="1"/>
  </cols>
  <sheetData>
    <row r="3" spans="2:5" x14ac:dyDescent="0.35">
      <c r="B3" s="32" t="s">
        <v>62</v>
      </c>
      <c r="C3" s="32"/>
      <c r="D3" s="32"/>
      <c r="E3" s="32"/>
    </row>
    <row r="5" spans="2:5" x14ac:dyDescent="0.35">
      <c r="B5" s="20" t="s">
        <v>63</v>
      </c>
      <c r="C5" s="20" t="s">
        <v>48</v>
      </c>
      <c r="D5" s="20" t="s">
        <v>49</v>
      </c>
      <c r="E5" s="20" t="s">
        <v>50</v>
      </c>
    </row>
    <row r="6" spans="2:5" x14ac:dyDescent="0.35">
      <c r="B6" s="20" t="s">
        <v>21</v>
      </c>
      <c r="C6" s="17">
        <f>Historical_IS!C4/Historical_IS!C4</f>
        <v>1</v>
      </c>
      <c r="D6" s="17">
        <f>Historical_IS!D4/Historical_IS!D4</f>
        <v>1</v>
      </c>
      <c r="E6" s="17">
        <f>Historical_IS!E4/Historical_IS!E4</f>
        <v>1</v>
      </c>
    </row>
    <row r="7" spans="2:5" x14ac:dyDescent="0.35">
      <c r="B7" s="20" t="s">
        <v>64</v>
      </c>
      <c r="C7" s="17">
        <f>Historical_IS!C5/Historical_IS!C4</f>
        <v>0.63048362080628506</v>
      </c>
      <c r="D7" s="17">
        <f>Historical_IS!D5/Historical_IS!D4</f>
        <v>0.57402055827755705</v>
      </c>
      <c r="E7" s="17">
        <f>Historical_IS!E5/Historical_IS!E4</f>
        <v>0.54941095112536786</v>
      </c>
    </row>
    <row r="8" spans="2:5" x14ac:dyDescent="0.35">
      <c r="B8" s="20" t="s">
        <v>65</v>
      </c>
      <c r="C8" s="17">
        <f>Historical_IS!C6/Historical_IS!C4</f>
        <v>0.56305288921372598</v>
      </c>
      <c r="D8" s="17">
        <f>Historical_IS!D6/Historical_IS!D4</f>
        <v>0.53231439473740538</v>
      </c>
      <c r="E8" s="17">
        <f>Historical_IS!E6/Historical_IS!E4</f>
        <v>0.51771289306271817</v>
      </c>
    </row>
    <row r="9" spans="2:5" x14ac:dyDescent="0.35">
      <c r="B9" s="20" t="s">
        <v>66</v>
      </c>
      <c r="C9" s="17">
        <f>Historical_IS!C7/Historical_IS!C4</f>
        <v>-8.6884319711896391E-3</v>
      </c>
      <c r="D9" s="17">
        <f>Historical_IS!D7/Historical_IS!D4</f>
        <v>-4.0859323158593239E-2</v>
      </c>
      <c r="E9" s="17">
        <f>Historical_IS!E7/Historical_IS!E4</f>
        <v>-6.7213134833535901E-2</v>
      </c>
    </row>
    <row r="10" spans="2:5" x14ac:dyDescent="0.35">
      <c r="B10" s="20" t="s">
        <v>67</v>
      </c>
      <c r="C10" s="17">
        <f>Historical_IS!C12/Historical_IS!C4</f>
        <v>0.55436445724253636</v>
      </c>
      <c r="D10" s="17">
        <f>Historical_IS!D12/Historical_IS!D4</f>
        <v>0.49145507157881219</v>
      </c>
      <c r="E10" s="17">
        <f>Historical_IS!E12/Historical_IS!E4</f>
        <v>0.45049975822918226</v>
      </c>
    </row>
    <row r="14" spans="2:5" x14ac:dyDescent="0.35">
      <c r="B14" s="32" t="s">
        <v>68</v>
      </c>
      <c r="C14" s="32"/>
      <c r="D14" s="32"/>
      <c r="E14" s="32"/>
    </row>
    <row r="16" spans="2:5" x14ac:dyDescent="0.35">
      <c r="B16" s="20" t="s">
        <v>69</v>
      </c>
      <c r="C16" s="20" t="s">
        <v>48</v>
      </c>
      <c r="D16" s="20" t="s">
        <v>49</v>
      </c>
      <c r="E16" s="20" t="s">
        <v>50</v>
      </c>
    </row>
    <row r="17" spans="2:5" x14ac:dyDescent="0.35">
      <c r="B17" s="20" t="s">
        <v>70</v>
      </c>
      <c r="C17" s="17">
        <f>Historical_BS!C3/Historical_BS!C3</f>
        <v>1</v>
      </c>
      <c r="D17" s="17">
        <f>Historical_BS!D3/Historical_BS!D3</f>
        <v>1</v>
      </c>
      <c r="E17" s="17">
        <f>Historical_BS!E3/Historical_BS!E3</f>
        <v>1</v>
      </c>
    </row>
    <row r="18" spans="2:5" x14ac:dyDescent="0.35">
      <c r="B18" s="20" t="s">
        <v>71</v>
      </c>
      <c r="C18" s="17">
        <f>Historical_BS!C4/Historical_BS!C3</f>
        <v>0.3770965409126632</v>
      </c>
      <c r="D18" s="17">
        <f>Historical_BS!D4/Historical_BS!D3</f>
        <v>0.40039561767056148</v>
      </c>
      <c r="E18" s="17">
        <f>Historical_BS!E4/Historical_BS!E3</f>
        <v>0.42326775155358698</v>
      </c>
    </row>
    <row r="19" spans="2:5" x14ac:dyDescent="0.35">
      <c r="B19" s="20" t="s">
        <v>72</v>
      </c>
      <c r="C19" s="17">
        <f>Historical_BS!C5/Historical_BS!C3</f>
        <v>0.55757300116260566</v>
      </c>
      <c r="D19" s="17">
        <f>Historical_BS!D5/Historical_BS!D3</f>
        <v>0.5331853976842984</v>
      </c>
      <c r="E19" s="17">
        <f>Historical_BS!E5/Historical_BS!E3</f>
        <v>0.50496877389637029</v>
      </c>
    </row>
    <row r="20" spans="2:5" x14ac:dyDescent="0.35">
      <c r="B20" s="20" t="s">
        <v>73</v>
      </c>
      <c r="C20" s="17">
        <f>Historical_BS!C6/Historical_BS!C3</f>
        <v>6.5330457924731258E-2</v>
      </c>
      <c r="D20" s="17">
        <f>Historical_BS!D6/Historical_BS!D3</f>
        <v>6.6418984645140192E-2</v>
      </c>
      <c r="E20" s="17">
        <f>Historical_BS!E6/Historical_BS!E3</f>
        <v>7.1763474550042769E-2</v>
      </c>
    </row>
    <row r="21" spans="2:5" x14ac:dyDescent="0.35">
      <c r="B21" s="20" t="s">
        <v>74</v>
      </c>
      <c r="C21" s="17">
        <f>Historical_BS!C7/Historical_BS!C3</f>
        <v>0.6229034590873368</v>
      </c>
      <c r="D21" s="17">
        <f>Historical_BS!D7/Historical_BS!D3</f>
        <v>0.59960438232943858</v>
      </c>
      <c r="E21" s="17">
        <f>Historical_BS!E7/Historical_BS!E3</f>
        <v>0.57673224844641302</v>
      </c>
    </row>
  </sheetData>
  <mergeCells count="2">
    <mergeCell ref="B3:E3"/>
    <mergeCell ref="B14:E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DB4B-A734-4C74-8DE0-5C4C22F64D1C}">
  <dimension ref="B3:M23"/>
  <sheetViews>
    <sheetView zoomScale="70" zoomScaleNormal="70" workbookViewId="0">
      <selection activeCell="E21" sqref="E21"/>
    </sheetView>
  </sheetViews>
  <sheetFormatPr defaultRowHeight="14.5" x14ac:dyDescent="0.35"/>
  <cols>
    <col min="2" max="2" width="18.08984375" bestFit="1" customWidth="1"/>
    <col min="3" max="5" width="26.54296875" bestFit="1" customWidth="1"/>
    <col min="7" max="7" width="15.6328125" bestFit="1" customWidth="1"/>
    <col min="8" max="12" width="14.08984375" bestFit="1" customWidth="1"/>
    <col min="13" max="13" width="15.08984375" bestFit="1" customWidth="1"/>
  </cols>
  <sheetData>
    <row r="3" spans="2:13" x14ac:dyDescent="0.35">
      <c r="B3" s="20" t="s">
        <v>75</v>
      </c>
      <c r="C3" s="16" t="s">
        <v>31</v>
      </c>
      <c r="D3" s="16" t="s">
        <v>32</v>
      </c>
      <c r="E3" s="16" t="s">
        <v>33</v>
      </c>
    </row>
    <row r="4" spans="2:13" x14ac:dyDescent="0.35">
      <c r="B4" s="20" t="s">
        <v>21</v>
      </c>
      <c r="C4" s="11">
        <f>Historical_IS!C4</f>
        <v>26749.821</v>
      </c>
      <c r="D4" s="11">
        <f>Historical_IS!D4</f>
        <v>35504.92</v>
      </c>
      <c r="E4" s="11">
        <f>Historical_IS!E4</f>
        <v>49557.262999999999</v>
      </c>
    </row>
    <row r="5" spans="2:13" x14ac:dyDescent="0.35">
      <c r="B5" s="20" t="s">
        <v>64</v>
      </c>
      <c r="C5" s="11">
        <f>Historical_IS!C5</f>
        <v>16865.324000000001</v>
      </c>
      <c r="D5" s="11">
        <f>Historical_IS!D5</f>
        <v>20380.554</v>
      </c>
      <c r="E5" s="11">
        <f>Historical_IS!E5</f>
        <v>27227.303</v>
      </c>
    </row>
    <row r="6" spans="2:13" x14ac:dyDescent="0.35">
      <c r="B6" s="20" t="s">
        <v>65</v>
      </c>
      <c r="C6" s="11">
        <f>Historical_IS!C6</f>
        <v>15061.564</v>
      </c>
      <c r="D6" s="11">
        <f>Historical_IS!D6</f>
        <v>18899.78</v>
      </c>
      <c r="E6" s="11">
        <f>Historical_IS!E6</f>
        <v>25656.434000000001</v>
      </c>
    </row>
    <row r="7" spans="2:13" x14ac:dyDescent="0.35">
      <c r="B7" s="20" t="s">
        <v>67</v>
      </c>
      <c r="C7" s="11">
        <f>Historical_IS!C12</f>
        <v>14829.15</v>
      </c>
      <c r="D7" s="11">
        <f>Historical_IS!D12</f>
        <v>17449.073</v>
      </c>
      <c r="E7" s="11">
        <f>Historical_IS!E12</f>
        <v>22325.535</v>
      </c>
    </row>
    <row r="8" spans="2:13" x14ac:dyDescent="0.35">
      <c r="B8" s="20" t="s">
        <v>70</v>
      </c>
      <c r="C8" s="11">
        <f>Historical_BS!C3</f>
        <v>139397.23199999999</v>
      </c>
      <c r="D8" s="11">
        <f>Historical_BS!D3</f>
        <v>160222.36799999999</v>
      </c>
      <c r="E8" s="11">
        <f>Historical_BS!E3</f>
        <v>186700.68700000001</v>
      </c>
    </row>
    <row r="9" spans="2:13" x14ac:dyDescent="0.35">
      <c r="B9" s="20" t="s">
        <v>76</v>
      </c>
      <c r="C9" s="11">
        <f>Historical_BS!C4</f>
        <v>52566.214</v>
      </c>
      <c r="D9" s="11">
        <f>Historical_BS!D4</f>
        <v>64152.334000000003</v>
      </c>
      <c r="E9" s="11">
        <f>Historical_BS!E4</f>
        <v>79024.38</v>
      </c>
    </row>
    <row r="10" spans="2:13" x14ac:dyDescent="0.35">
      <c r="B10" s="20" t="s">
        <v>74</v>
      </c>
      <c r="C10" s="11">
        <f>Historical_BS!C7</f>
        <v>86831.017999999996</v>
      </c>
      <c r="D10" s="11">
        <f>Historical_BS!D7</f>
        <v>96070.034</v>
      </c>
      <c r="E10" s="11">
        <f>Historical_BS!E7</f>
        <v>107676.307</v>
      </c>
    </row>
    <row r="11" spans="2:13" x14ac:dyDescent="0.35">
      <c r="B11" s="20" t="s">
        <v>77</v>
      </c>
      <c r="C11" s="11">
        <f>Historical_CF!C4</f>
        <v>19831.246999999999</v>
      </c>
      <c r="D11" s="11">
        <f>Historical_CF!D4</f>
        <v>24481.462</v>
      </c>
      <c r="E11" s="11">
        <f>Historical_CF!E4</f>
        <v>33458.368999999999</v>
      </c>
    </row>
    <row r="14" spans="2:13" x14ac:dyDescent="0.35">
      <c r="B14" s="20" t="s">
        <v>78</v>
      </c>
      <c r="C14" s="20" t="s">
        <v>48</v>
      </c>
      <c r="D14" s="20" t="s">
        <v>49</v>
      </c>
      <c r="E14" s="20" t="s">
        <v>50</v>
      </c>
      <c r="G14" s="20" t="s">
        <v>82</v>
      </c>
      <c r="H14" s="20" t="s">
        <v>83</v>
      </c>
      <c r="I14" s="20" t="s">
        <v>84</v>
      </c>
      <c r="J14" s="20" t="s">
        <v>85</v>
      </c>
      <c r="K14" s="20" t="s">
        <v>86</v>
      </c>
      <c r="L14" s="20" t="s">
        <v>87</v>
      </c>
      <c r="M14" s="20" t="s">
        <v>88</v>
      </c>
    </row>
    <row r="15" spans="2:13" x14ac:dyDescent="0.35">
      <c r="B15" s="20" t="s">
        <v>79</v>
      </c>
      <c r="C15" s="14" t="s">
        <v>81</v>
      </c>
      <c r="D15" s="17">
        <f>Historical_IS!D4/Historical_IS!C4-1</f>
        <v>0.32729561068838553</v>
      </c>
      <c r="E15" s="17">
        <f>Historical_IS!E4/Historical_IS!D4-1</f>
        <v>0.3957857953207613</v>
      </c>
      <c r="G15" s="20" t="s">
        <v>21</v>
      </c>
      <c r="H15" s="11">
        <f>Historical_IS!C4</f>
        <v>26749.821</v>
      </c>
      <c r="I15" s="11">
        <f>Historical_IS!D4</f>
        <v>35504.92</v>
      </c>
      <c r="J15" s="11">
        <f>Historical_IS!E4</f>
        <v>49557.262999999999</v>
      </c>
      <c r="K15" s="22">
        <f>J15*(1+C20)</f>
        <v>67472.213574499998</v>
      </c>
      <c r="L15" s="22">
        <f>K15*(1+C20)</f>
        <v>91863.418781681743</v>
      </c>
      <c r="M15" s="22">
        <f>L15*(1+C20)</f>
        <v>125072.04467125969</v>
      </c>
    </row>
    <row r="16" spans="2:13" x14ac:dyDescent="0.35">
      <c r="B16" s="20" t="s">
        <v>80</v>
      </c>
      <c r="C16" s="14" t="s">
        <v>81</v>
      </c>
      <c r="D16" s="17">
        <f>Historical_IS!D12/Historical_IS!C12-1</f>
        <v>0.17667384846737688</v>
      </c>
      <c r="E16" s="17">
        <f>Historical_IS!E12/Historical_IS!D12-1</f>
        <v>0.2794682559927395</v>
      </c>
      <c r="G16" s="20" t="s">
        <v>64</v>
      </c>
      <c r="H16" s="11">
        <f>Historical_IS!C5</f>
        <v>16865.324000000001</v>
      </c>
      <c r="I16" s="11">
        <f>Historical_IS!D5</f>
        <v>20380.554</v>
      </c>
      <c r="J16" s="11">
        <f>Historical_IS!E5</f>
        <v>27227.303</v>
      </c>
      <c r="K16" s="22">
        <f>J16*(1+C21)</f>
        <v>43144.384333800001</v>
      </c>
      <c r="L16" s="22">
        <f>K16*(1+C21)</f>
        <v>68366.591415339484</v>
      </c>
      <c r="M16" s="22">
        <f>L16*(1+C21)</f>
        <v>108333.70075674694</v>
      </c>
    </row>
    <row r="17" spans="2:13" x14ac:dyDescent="0.35">
      <c r="G17" s="20" t="s">
        <v>65</v>
      </c>
      <c r="H17" s="11">
        <f>Historical_IS!C6</f>
        <v>15061.564</v>
      </c>
      <c r="I17" s="11">
        <f>Historical_IS!D6</f>
        <v>18899.78</v>
      </c>
      <c r="J17" s="11">
        <f>Historical_IS!E6</f>
        <v>25656.434000000001</v>
      </c>
      <c r="K17" s="22">
        <f>J17*(1+C22)</f>
        <v>39451.898561800001</v>
      </c>
      <c r="L17" s="22">
        <f>K17*(1+C22)</f>
        <v>60665.184418479861</v>
      </c>
      <c r="M17" s="22">
        <f>L17*(1+C22)</f>
        <v>93284.854080296485</v>
      </c>
    </row>
    <row r="18" spans="2:13" x14ac:dyDescent="0.35">
      <c r="G18" s="20" t="s">
        <v>67</v>
      </c>
      <c r="H18" s="11">
        <f>Historical_IS!C12</f>
        <v>14829.15</v>
      </c>
      <c r="I18" s="11">
        <f>Historical_IS!D12</f>
        <v>17449.073</v>
      </c>
      <c r="J18" s="11">
        <f>Historical_IS!E12</f>
        <v>22325.535</v>
      </c>
      <c r="K18" s="22">
        <f>J18*(1+C23)</f>
        <v>33461.511858000005</v>
      </c>
      <c r="L18" s="22">
        <f>K18*(1+C23)</f>
        <v>50152.113972770414</v>
      </c>
      <c r="M18" s="22">
        <f>L18*(1+C23)</f>
        <v>75167.988422388298</v>
      </c>
    </row>
    <row r="19" spans="2:13" x14ac:dyDescent="0.35">
      <c r="B19" s="20" t="s">
        <v>90</v>
      </c>
      <c r="C19" s="20" t="s">
        <v>89</v>
      </c>
    </row>
    <row r="20" spans="2:13" x14ac:dyDescent="0.35">
      <c r="B20" s="20" t="s">
        <v>21</v>
      </c>
      <c r="C20" s="17">
        <v>0.36149999999999999</v>
      </c>
    </row>
    <row r="21" spans="2:13" x14ac:dyDescent="0.35">
      <c r="B21" s="20" t="s">
        <v>64</v>
      </c>
      <c r="C21" s="21">
        <v>0.58460000000000001</v>
      </c>
    </row>
    <row r="22" spans="2:13" x14ac:dyDescent="0.35">
      <c r="B22" s="20" t="s">
        <v>65</v>
      </c>
      <c r="C22" s="17">
        <v>0.53769999999999996</v>
      </c>
    </row>
    <row r="23" spans="2:13" x14ac:dyDescent="0.35">
      <c r="B23" s="20" t="s">
        <v>67</v>
      </c>
      <c r="C23" s="17">
        <v>0.49880000000000002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Company_Info</vt:lpstr>
      <vt:lpstr>Dashboard</vt:lpstr>
      <vt:lpstr>Historical_IS</vt:lpstr>
      <vt:lpstr>Historical_BS</vt:lpstr>
      <vt:lpstr>Historical_CF</vt:lpstr>
      <vt:lpstr>Ratio_Analysis</vt:lpstr>
      <vt:lpstr>Common_Size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Khatib</dc:creator>
  <cp:lastModifiedBy>Anas Khatib</cp:lastModifiedBy>
  <dcterms:created xsi:type="dcterms:W3CDTF">2015-06-05T18:17:20Z</dcterms:created>
  <dcterms:modified xsi:type="dcterms:W3CDTF">2026-09-23T19:45:37Z</dcterms:modified>
</cp:coreProperties>
</file>